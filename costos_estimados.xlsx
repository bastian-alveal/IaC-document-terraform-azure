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tianalveallampe/Desktop/Personal-Projects/GitHub-Repos/IaC/IaC-document-terraform/"/>
    </mc:Choice>
  </mc:AlternateContent>
  <xr:revisionPtr revIDLastSave="0" documentId="8_{65E7161E-EA1E-8B40-B87D-03385F6FC03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10" i="1"/>
  <c r="E10" i="1" s="1"/>
  <c r="E14" i="1"/>
  <c r="E5" i="1"/>
  <c r="E4" i="1"/>
  <c r="E3" i="1"/>
  <c r="E2" i="1"/>
</calcChain>
</file>

<file path=xl/sharedStrings.xml><?xml version="1.0" encoding="utf-8"?>
<sst xmlns="http://schemas.openxmlformats.org/spreadsheetml/2006/main" count="51" uniqueCount="48">
  <si>
    <t>Recurso</t>
  </si>
  <si>
    <t>SKU / Configuración</t>
  </si>
  <si>
    <t>Cantidad</t>
  </si>
  <si>
    <t>Costo mensual estimado (USD)</t>
  </si>
  <si>
    <t>Notas</t>
  </si>
  <si>
    <t>App Service</t>
  </si>
  <si>
    <t>PostgreSQL Flexible Server</t>
  </si>
  <si>
    <t>Container App (backend)</t>
  </si>
  <si>
    <t>Private Endpoint para BD</t>
  </si>
  <si>
    <t>VNet, Subnets, Private DNS</t>
  </si>
  <si>
    <t>Certificados SSL</t>
  </si>
  <si>
    <t>Backup Automático BD</t>
  </si>
  <si>
    <t>B2s (2 vCPU, 4GB RAM, 128GB SSD)</t>
  </si>
  <si>
    <t>1</t>
  </si>
  <si>
    <t>Incluido</t>
  </si>
  <si>
    <t>App Service Managed</t>
  </si>
  <si>
    <t>Incluido en Flexible Server</t>
  </si>
  <si>
    <t>Plan Standard, Brazil South</t>
  </si>
  <si>
    <t>Storage incluido, Brazil South</t>
  </si>
  <si>
    <t>Aprox, dependerá del uso real</t>
  </si>
  <si>
    <t>Puede variar levemente</t>
  </si>
  <si>
    <t>Sin costo relevante</t>
  </si>
  <si>
    <t>Gratis si usas certificados gestionados</t>
  </si>
  <si>
    <t>Sin costo extra</t>
  </si>
  <si>
    <t>Dominio .cl</t>
  </si>
  <si>
    <t>Recursos</t>
  </si>
  <si>
    <t>dominio que asociariamos a los app services</t>
  </si>
  <si>
    <t>1 Compra anual</t>
  </si>
  <si>
    <t>Proveedor</t>
  </si>
  <si>
    <t>Costo estimado (USD)</t>
  </si>
  <si>
    <t>0,5 vCPU, 1GB RAM (consumo base)</t>
  </si>
  <si>
    <t>Dólar</t>
  </si>
  <si>
    <t>Peso Chileno</t>
  </si>
  <si>
    <t>Costo Mensual estimado (CLP)</t>
  </si>
  <si>
    <t>Costo estimado (CLP)</t>
  </si>
  <si>
    <t>azure/cloudflare/nic</t>
  </si>
  <si>
    <t>VM bastion</t>
  </si>
  <si>
    <t>P1V2 (1 vCPU, 3,5GB RAM)</t>
  </si>
  <si>
    <t>bd</t>
  </si>
  <si>
    <t>App services</t>
  </si>
  <si>
    <t>CPU                           RAM</t>
  </si>
  <si>
    <t>SSD</t>
  </si>
  <si>
    <t>UPTIME        COST HOUR       COST MONTH</t>
  </si>
  <si>
    <t>ACU/VCPU</t>
  </si>
  <si>
    <t>VM</t>
  </si>
  <si>
    <t>Container App</t>
  </si>
  <si>
    <t>B1s(1 core, 4 ram, 4 GB ssd)</t>
  </si>
  <si>
    <t>Estimación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</si>
</sst>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2" fontId="0" fillId="0" borderId="0" xfId="1" applyFont="1"/>
    <xf numFmtId="42" fontId="0" fillId="0" borderId="1" xfId="1" applyFont="1" applyBorder="1"/>
    <xf numFmtId="42" fontId="0" fillId="0" borderId="1" xfId="0" applyNumberFormat="1" applyBorder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21</xdr:row>
      <xdr:rowOff>67734</xdr:rowOff>
    </xdr:from>
    <xdr:to>
      <xdr:col>4</xdr:col>
      <xdr:colOff>1286934</xdr:colOff>
      <xdr:row>27</xdr:row>
      <xdr:rowOff>16541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C0FCCD-090B-D043-396F-DE56CFE3E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7" y="4157134"/>
          <a:ext cx="7772400" cy="11172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2550263</xdr:colOff>
      <xdr:row>31</xdr:row>
      <xdr:rowOff>8467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90F60-A428-7F06-D1CE-52137412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42000"/>
          <a:ext cx="10923796" cy="20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1278467</xdr:colOff>
      <xdr:row>40</xdr:row>
      <xdr:rowOff>99121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ED92D1-DD83-9692-2B9E-6094CEC7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26200"/>
          <a:ext cx="7772400" cy="14622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135467</xdr:rowOff>
    </xdr:from>
    <xdr:to>
      <xdr:col>5</xdr:col>
      <xdr:colOff>884767</xdr:colOff>
      <xdr:row>54</xdr:row>
      <xdr:rowOff>63499</xdr:rowOff>
    </xdr:to>
    <xdr:pic>
      <xdr:nvPicPr>
        <xdr:cNvPr id="5" name="Imagen 4" descr="El usuario cargó una imagen.">
          <a:extLst>
            <a:ext uri="{FF2B5EF4-FFF2-40B4-BE49-F238E27FC236}">
              <a16:creationId xmlns:a16="http://schemas.microsoft.com/office/drawing/2014/main" id="{0C986676-3C7B-C5DB-7882-7E77C64A45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708"/>
        <a:stretch>
          <a:fillRect/>
        </a:stretch>
      </xdr:blipFill>
      <xdr:spPr bwMode="auto">
        <a:xfrm>
          <a:off x="0" y="8509000"/>
          <a:ext cx="9258300" cy="207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4</xdr:col>
      <xdr:colOff>1278467</xdr:colOff>
      <xdr:row>64</xdr:row>
      <xdr:rowOff>38447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0836B2A-1F86-317E-739D-76BD320B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099800"/>
          <a:ext cx="7772400" cy="140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="150" workbookViewId="0">
      <selection activeCell="E18" sqref="E18"/>
    </sheetView>
  </sheetViews>
  <sheetFormatPr baseColWidth="10" defaultColWidth="8.83203125" defaultRowHeight="15" x14ac:dyDescent="0.2"/>
  <cols>
    <col min="1" max="1" width="21.6640625" bestFit="1" customWidth="1"/>
    <col min="2" max="2" width="29.33203125" bestFit="1" customWidth="1"/>
    <col min="3" max="3" width="9.5" customWidth="1"/>
    <col min="4" max="4" width="24.6640625" bestFit="1" customWidth="1"/>
    <col min="5" max="5" width="24.6640625" customWidth="1"/>
    <col min="6" max="6" width="34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</row>
    <row r="2" spans="1:9" x14ac:dyDescent="0.2">
      <c r="A2" t="s">
        <v>5</v>
      </c>
      <c r="B2" t="s">
        <v>37</v>
      </c>
      <c r="C2">
        <v>1</v>
      </c>
      <c r="D2" s="5">
        <v>73</v>
      </c>
      <c r="E2" s="5">
        <f>D2*I3</f>
        <v>70015.03</v>
      </c>
      <c r="F2" t="s">
        <v>17</v>
      </c>
      <c r="H2" t="s">
        <v>31</v>
      </c>
      <c r="I2" t="s">
        <v>32</v>
      </c>
    </row>
    <row r="3" spans="1:9" x14ac:dyDescent="0.2">
      <c r="A3" t="s">
        <v>6</v>
      </c>
      <c r="B3" t="s">
        <v>12</v>
      </c>
      <c r="C3">
        <v>1</v>
      </c>
      <c r="D3" s="5">
        <v>129.94</v>
      </c>
      <c r="E3" s="5">
        <f>D3*I3</f>
        <v>124626.7534</v>
      </c>
      <c r="F3" t="s">
        <v>18</v>
      </c>
      <c r="H3">
        <v>1</v>
      </c>
      <c r="I3" s="5">
        <v>959.11</v>
      </c>
    </row>
    <row r="4" spans="1:9" x14ac:dyDescent="0.2">
      <c r="A4" t="s">
        <v>7</v>
      </c>
      <c r="B4" t="s">
        <v>30</v>
      </c>
      <c r="C4">
        <v>1</v>
      </c>
      <c r="D4" s="5">
        <v>40</v>
      </c>
      <c r="E4" s="5">
        <f>D4*I3</f>
        <v>38364.400000000001</v>
      </c>
      <c r="F4" t="s">
        <v>19</v>
      </c>
    </row>
    <row r="5" spans="1:9" x14ac:dyDescent="0.2">
      <c r="A5" t="s">
        <v>8</v>
      </c>
      <c r="B5" t="s">
        <v>13</v>
      </c>
      <c r="C5">
        <v>1</v>
      </c>
      <c r="D5" s="5">
        <v>7</v>
      </c>
      <c r="E5" s="5">
        <f>D5*I3</f>
        <v>6713.77</v>
      </c>
      <c r="F5" t="s">
        <v>20</v>
      </c>
    </row>
    <row r="6" spans="1:9" x14ac:dyDescent="0.2">
      <c r="A6" t="s">
        <v>36</v>
      </c>
      <c r="B6" t="s">
        <v>46</v>
      </c>
      <c r="C6">
        <v>1</v>
      </c>
      <c r="D6" s="5">
        <v>9</v>
      </c>
      <c r="E6" s="5">
        <f>D6*I3</f>
        <v>8631.99</v>
      </c>
    </row>
    <row r="7" spans="1:9" x14ac:dyDescent="0.2">
      <c r="A7" t="s">
        <v>9</v>
      </c>
      <c r="B7" t="s">
        <v>14</v>
      </c>
      <c r="C7">
        <v>1</v>
      </c>
      <c r="D7" s="5">
        <v>0</v>
      </c>
      <c r="E7" s="5"/>
      <c r="F7" t="s">
        <v>21</v>
      </c>
    </row>
    <row r="8" spans="1:9" x14ac:dyDescent="0.2">
      <c r="A8" t="s">
        <v>10</v>
      </c>
      <c r="B8" t="s">
        <v>15</v>
      </c>
      <c r="C8">
        <v>1</v>
      </c>
      <c r="D8" s="5">
        <v>0</v>
      </c>
      <c r="E8" s="5"/>
      <c r="F8" t="s">
        <v>22</v>
      </c>
    </row>
    <row r="9" spans="1:9" x14ac:dyDescent="0.2">
      <c r="A9" t="s">
        <v>11</v>
      </c>
      <c r="B9" t="s">
        <v>16</v>
      </c>
      <c r="C9">
        <v>1</v>
      </c>
      <c r="D9" s="5">
        <v>0</v>
      </c>
      <c r="E9" s="5"/>
      <c r="F9" t="s">
        <v>23</v>
      </c>
    </row>
    <row r="10" spans="1:9" x14ac:dyDescent="0.2">
      <c r="A10" t="s">
        <v>47</v>
      </c>
      <c r="D10" s="5">
        <f>SUM(D2:D9)</f>
        <v>258.94</v>
      </c>
      <c r="E10" s="5">
        <f>D10*I3</f>
        <v>248351.94339999999</v>
      </c>
    </row>
    <row r="12" spans="1:9" x14ac:dyDescent="0.2">
      <c r="A12" s="4" t="s">
        <v>27</v>
      </c>
      <c r="B12" s="4"/>
      <c r="C12" s="4"/>
      <c r="D12" s="4"/>
      <c r="E12" s="4"/>
      <c r="F12" s="4"/>
    </row>
    <row r="13" spans="1:9" x14ac:dyDescent="0.2">
      <c r="A13" s="3" t="s">
        <v>25</v>
      </c>
      <c r="B13" s="3" t="s">
        <v>28</v>
      </c>
      <c r="C13" s="3" t="s">
        <v>2</v>
      </c>
      <c r="D13" s="3" t="s">
        <v>29</v>
      </c>
      <c r="E13" s="3" t="s">
        <v>34</v>
      </c>
      <c r="F13" s="3" t="s">
        <v>4</v>
      </c>
    </row>
    <row r="14" spans="1:9" x14ac:dyDescent="0.2">
      <c r="A14" s="2" t="s">
        <v>24</v>
      </c>
      <c r="B14" s="2" t="s">
        <v>35</v>
      </c>
      <c r="C14" s="2">
        <v>1</v>
      </c>
      <c r="D14" s="6">
        <v>20</v>
      </c>
      <c r="E14" s="7">
        <f>D14*I3</f>
        <v>19182.2</v>
      </c>
      <c r="F14" s="2" t="s">
        <v>26</v>
      </c>
    </row>
    <row r="21" spans="1:6" x14ac:dyDescent="0.2">
      <c r="A21" t="s">
        <v>38</v>
      </c>
    </row>
    <row r="30" spans="1:6" x14ac:dyDescent="0.2">
      <c r="A30" t="s">
        <v>39</v>
      </c>
      <c r="C30" t="s">
        <v>43</v>
      </c>
      <c r="D30" t="s">
        <v>40</v>
      </c>
      <c r="E30" t="s">
        <v>41</v>
      </c>
      <c r="F30" t="s">
        <v>42</v>
      </c>
    </row>
    <row r="33" spans="1:1" x14ac:dyDescent="0.2">
      <c r="A33" t="s">
        <v>44</v>
      </c>
    </row>
    <row r="43" spans="1:1" x14ac:dyDescent="0.2">
      <c r="A43" t="s">
        <v>45</v>
      </c>
    </row>
    <row r="57" spans="1:1" x14ac:dyDescent="0.2">
      <c r="A57" t="s">
        <v>44</v>
      </c>
    </row>
  </sheetData>
  <mergeCells count="1">
    <mergeCell ref="A12:F12"/>
  </mergeCells>
  <pageMargins left="0.7" right="0.7" top="0.75" bottom="0.75" header="0.3" footer="0.3"/>
  <ignoredErrors>
    <ignoredError sqref="B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bastian Alveal</cp:lastModifiedBy>
  <dcterms:created xsi:type="dcterms:W3CDTF">2025-07-15T19:25:01Z</dcterms:created>
  <dcterms:modified xsi:type="dcterms:W3CDTF">2025-10-14T17:12:55Z</dcterms:modified>
</cp:coreProperties>
</file>